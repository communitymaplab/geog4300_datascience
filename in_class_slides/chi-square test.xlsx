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85916/Dropbox/COURSES/Fall2025/GEOG4300/lectures/"/>
    </mc:Choice>
  </mc:AlternateContent>
  <xr:revisionPtr revIDLastSave="0" documentId="8_{61BADB5B-8832-7D4D-8C1C-76490B4086D4}" xr6:coauthVersionLast="47" xr6:coauthVersionMax="47" xr10:uidLastSave="{00000000-0000-0000-0000-000000000000}"/>
  <bookViews>
    <workbookView xWindow="5180" yWindow="1800" windowWidth="28040" windowHeight="17440" xr2:uid="{63C37ADE-DBA3-3C49-8007-5E9D92FBC5C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B16" i="1"/>
  <c r="C16" i="1"/>
  <c r="D16" i="1"/>
  <c r="B17" i="1"/>
  <c r="C17" i="1"/>
  <c r="D17" i="1"/>
  <c r="C15" i="1"/>
  <c r="D15" i="1"/>
  <c r="B15" i="1"/>
  <c r="C11" i="1"/>
  <c r="D11" i="1"/>
  <c r="B11" i="1"/>
  <c r="C10" i="1"/>
  <c r="D10" i="1"/>
  <c r="B10" i="1"/>
  <c r="D9" i="1"/>
  <c r="C9" i="1"/>
  <c r="B9" i="1"/>
  <c r="C6" i="1"/>
  <c r="D6" i="1"/>
  <c r="B6" i="1"/>
</calcChain>
</file>

<file path=xl/sharedStrings.xml><?xml version="1.0" encoding="utf-8"?>
<sst xmlns="http://schemas.openxmlformats.org/spreadsheetml/2006/main" count="18" uniqueCount="11">
  <si>
    <t>Car</t>
  </si>
  <si>
    <t>Transit</t>
  </si>
  <si>
    <t>Walk/bike</t>
  </si>
  <si>
    <t>Total</t>
  </si>
  <si>
    <t>Low income</t>
  </si>
  <si>
    <t>Moderate income</t>
  </si>
  <si>
    <t>High income</t>
  </si>
  <si>
    <t>EXPECTED</t>
  </si>
  <si>
    <t>Chi-Sq</t>
  </si>
  <si>
    <t>Critical Value</t>
  </si>
  <si>
    <t>df=4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</si>
</sst>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"/>
  </numFmts>
  <fonts count="5" x14ac:knownFonts="1">
    <font>
      <sz val="12"/>
      <color theme="1"/>
      <name val="Aptos Narrow"/>
      <family val="2"/>
      <scheme val="minor"/>
    </font>
    <font>
      <sz val="18"/>
      <name val="Arial"/>
      <family val="2"/>
    </font>
    <font>
      <b/>
      <sz val="24"/>
      <color rgb="FFFFFFFF"/>
      <name val="Calisto MT"/>
      <family val="1"/>
    </font>
    <font>
      <sz val="24"/>
      <color rgb="FF000000"/>
      <name val="Calisto MT"/>
      <family val="1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451B"/>
        <bgColor indexed="64"/>
      </patternFill>
    </fill>
    <fill>
      <patternFill patternType="solid">
        <fgColor rgb="FFE7CFCC"/>
        <bgColor indexed="64"/>
      </patternFill>
    </fill>
    <fill>
      <patternFill patternType="solid">
        <fgColor rgb="FFF4E9E7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left" vertical="center" wrapText="1" readingOrder="1"/>
    </xf>
    <xf numFmtId="0" fontId="3" fillId="3" borderId="2" xfId="0" applyFont="1" applyFill="1" applyBorder="1" applyAlignment="1">
      <alignment horizontal="right" vertical="center" wrapText="1" readingOrder="1"/>
    </xf>
    <xf numFmtId="0" fontId="2" fillId="2" borderId="3" xfId="0" applyFont="1" applyFill="1" applyBorder="1" applyAlignment="1">
      <alignment horizontal="left" vertical="center" wrapText="1" readingOrder="1"/>
    </xf>
    <xf numFmtId="0" fontId="3" fillId="4" borderId="3" xfId="0" applyFont="1" applyFill="1" applyBorder="1" applyAlignment="1">
      <alignment horizontal="right" vertical="center" wrapText="1" readingOrder="1"/>
    </xf>
    <xf numFmtId="0" fontId="3" fillId="3" borderId="3" xfId="0" applyFont="1" applyFill="1" applyBorder="1" applyAlignment="1">
      <alignment horizontal="right" vertical="center" wrapText="1" readingOrder="1"/>
    </xf>
    <xf numFmtId="0" fontId="4" fillId="0" borderId="0" xfId="0" applyFont="1"/>
    <xf numFmtId="2" fontId="0" fillId="0" borderId="0" xfId="0" applyNumberFormat="1"/>
    <xf numFmtId="177" fontId="0" fillId="0" borderId="0" xfId="0" applyNumberFormat="1"/>
    <xf numFmtId="2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A260E-9C0E-1D40-92CF-5A037280B72C}">
  <dimension ref="A1:E20"/>
  <sheetViews>
    <sheetView tabSelected="1" topLeftCell="A6" workbookViewId="0">
      <selection activeCell="E12" sqref="E12"/>
    </sheetView>
  </sheetViews>
  <sheetFormatPr baseColWidth="10" defaultRowHeight="16" x14ac:dyDescent="0.2"/>
  <cols>
    <col min="1" max="1" width="26.5" customWidth="1"/>
    <col min="2" max="2" width="34.5" customWidth="1"/>
    <col min="3" max="3" width="37.1640625" customWidth="1"/>
    <col min="4" max="4" width="37.33203125" customWidth="1"/>
    <col min="5" max="5" width="43.33203125" customWidth="1"/>
  </cols>
  <sheetData>
    <row r="1" spans="1:5" ht="109" thickBot="1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 spans="1:5" ht="110" thickTop="1" thickBot="1" x14ac:dyDescent="0.25">
      <c r="A2" s="3" t="s">
        <v>4</v>
      </c>
      <c r="B2" s="4">
        <v>58</v>
      </c>
      <c r="C2" s="4">
        <v>21</v>
      </c>
      <c r="D2" s="4">
        <v>36</v>
      </c>
      <c r="E2" s="4">
        <v>115</v>
      </c>
    </row>
    <row r="3" spans="1:5" ht="145" thickBot="1" x14ac:dyDescent="0.25">
      <c r="A3" s="5" t="s">
        <v>5</v>
      </c>
      <c r="B3" s="6">
        <v>199</v>
      </c>
      <c r="C3" s="6">
        <v>49</v>
      </c>
      <c r="D3" s="6">
        <v>64</v>
      </c>
      <c r="E3" s="6">
        <v>312</v>
      </c>
    </row>
    <row r="4" spans="1:5" ht="109" thickBot="1" x14ac:dyDescent="0.25">
      <c r="A4" s="5" t="s">
        <v>6</v>
      </c>
      <c r="B4" s="7">
        <v>205</v>
      </c>
      <c r="C4" s="7">
        <v>32</v>
      </c>
      <c r="D4" s="7">
        <v>29</v>
      </c>
      <c r="E4" s="7">
        <v>266</v>
      </c>
    </row>
    <row r="5" spans="1:5" ht="37" thickBot="1" x14ac:dyDescent="0.25">
      <c r="A5" s="5" t="s">
        <v>3</v>
      </c>
      <c r="B5" s="6">
        <v>462</v>
      </c>
      <c r="C5" s="6">
        <v>102</v>
      </c>
      <c r="D5" s="6">
        <v>129</v>
      </c>
      <c r="E5" s="6">
        <v>693</v>
      </c>
    </row>
    <row r="6" spans="1:5" x14ac:dyDescent="0.2">
      <c r="B6">
        <f>B5/$E$5</f>
        <v>0.66666666666666663</v>
      </c>
      <c r="C6">
        <f t="shared" ref="C6:D6" si="0">C5/$E$5</f>
        <v>0.1471861471861472</v>
      </c>
      <c r="D6">
        <f t="shared" si="0"/>
        <v>0.18614718614718614</v>
      </c>
    </row>
    <row r="8" spans="1:5" ht="17" thickBot="1" x14ac:dyDescent="0.25">
      <c r="B8" s="8" t="s">
        <v>7</v>
      </c>
    </row>
    <row r="9" spans="1:5" ht="110" thickTop="1" thickBot="1" x14ac:dyDescent="0.25">
      <c r="A9" s="3" t="s">
        <v>4</v>
      </c>
      <c r="B9" s="10">
        <f>115*B6</f>
        <v>76.666666666666657</v>
      </c>
      <c r="C9" s="10">
        <f>115*C6</f>
        <v>16.926406926406926</v>
      </c>
      <c r="D9" s="10">
        <f>115*D6</f>
        <v>21.406926406926406</v>
      </c>
    </row>
    <row r="10" spans="1:5" ht="145" thickBot="1" x14ac:dyDescent="0.25">
      <c r="A10" s="5" t="s">
        <v>5</v>
      </c>
      <c r="B10" s="10">
        <f>$E$3*B6</f>
        <v>208</v>
      </c>
      <c r="C10" s="10">
        <f t="shared" ref="C10:D10" si="1">$E$3*C6</f>
        <v>45.922077922077925</v>
      </c>
      <c r="D10" s="10">
        <f t="shared" si="1"/>
        <v>58.077922077922075</v>
      </c>
    </row>
    <row r="11" spans="1:5" ht="109" thickBot="1" x14ac:dyDescent="0.25">
      <c r="A11" s="5" t="s">
        <v>6</v>
      </c>
      <c r="B11" s="10">
        <f>$E$4*B6</f>
        <v>177.33333333333331</v>
      </c>
      <c r="C11" s="10">
        <f t="shared" ref="C11:D11" si="2">$E$4*C6</f>
        <v>39.151515151515156</v>
      </c>
      <c r="D11" s="10">
        <f t="shared" si="2"/>
        <v>49.515151515151516</v>
      </c>
    </row>
    <row r="14" spans="1:5" ht="17" thickBot="1" x14ac:dyDescent="0.25"/>
    <row r="15" spans="1:5" ht="38" thickTop="1" thickBot="1" x14ac:dyDescent="0.25">
      <c r="A15" s="3" t="s">
        <v>4</v>
      </c>
      <c r="B15" s="9">
        <f>(B2-B9)^2/B9</f>
        <v>4.5449275362318806</v>
      </c>
      <c r="C15" s="9">
        <f t="shared" ref="C15:D15" si="3">(C2-C9)^2/C9</f>
        <v>0.98037112078032806</v>
      </c>
      <c r="D15" s="9">
        <f t="shared" si="3"/>
        <v>9.9480790864006252</v>
      </c>
    </row>
    <row r="16" spans="1:5" ht="73" thickBot="1" x14ac:dyDescent="0.25">
      <c r="A16" s="5" t="s">
        <v>5</v>
      </c>
      <c r="B16" s="9">
        <f t="shared" ref="B16:D16" si="4">(B3-B10)^2/B10</f>
        <v>0.38942307692307693</v>
      </c>
      <c r="C16" s="9">
        <f t="shared" si="4"/>
        <v>0.20629737909149631</v>
      </c>
      <c r="D16" s="9">
        <f t="shared" si="4"/>
        <v>0.60386125502404631</v>
      </c>
    </row>
    <row r="17" spans="1:5" ht="37" thickBot="1" x14ac:dyDescent="0.25">
      <c r="A17" s="5" t="s">
        <v>6</v>
      </c>
      <c r="B17" s="9">
        <f t="shared" ref="B17:D17" si="5">(B4-B11)^2/B11</f>
        <v>4.3164160401002567</v>
      </c>
      <c r="C17" s="9">
        <f t="shared" si="5"/>
        <v>1.3063139131250601</v>
      </c>
      <c r="D17" s="9">
        <f t="shared" si="5"/>
        <v>8.4998516375505364</v>
      </c>
    </row>
    <row r="19" spans="1:5" x14ac:dyDescent="0.2">
      <c r="C19" s="8" t="s">
        <v>8</v>
      </c>
      <c r="D19" s="11">
        <f>SUM(B15:D17)</f>
        <v>30.795541045227303</v>
      </c>
    </row>
    <row r="20" spans="1:5" x14ac:dyDescent="0.2">
      <c r="C20" s="8" t="s">
        <v>9</v>
      </c>
      <c r="D20" s="8">
        <v>9.5</v>
      </c>
      <c r="E20" s="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Harper</dc:creator>
  <cp:lastModifiedBy>Anna Harper</cp:lastModifiedBy>
  <dcterms:created xsi:type="dcterms:W3CDTF">2025-10-20T15:03:01Z</dcterms:created>
  <dcterms:modified xsi:type="dcterms:W3CDTF">2025-10-20T15:10:24Z</dcterms:modified>
</cp:coreProperties>
</file>